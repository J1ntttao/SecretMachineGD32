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<sst xmlns="http://schemas.openxmlformats.org/spreadsheetml/2006/main" count="108" uniqueCount="77">
  <si>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</si>
  <si>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</si>
  <si>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</si>
  <si>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</si>
  <si>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</si>
  <si>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</si>
  <si>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</si>
  <si>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</si>
  <si>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</si>
  <si>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</si>
  <si>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</si>
  <si>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</si>
  <si>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app_fourlightsgamep.o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</si>
  <si>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</si>
  <si>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</si>
  <si>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</si>
  <si>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</si>
  <si>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</si>
  <si>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</si>
  <si>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</si>
  <si>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</si>
  <si>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</si>
  <si>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</si>
  <si>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</si>
  <si>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</si>
  <si>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</si>
  <si>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</si>
  <si>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</si>
  <si>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</si>
  <si>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</si>
  <si>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</si>
  <si>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</si>
  <si>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</si>
  <si>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</si>
  <si>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</si>
  <si>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</si>
  <si>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</si>
  <si>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</si>
  <si>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app_randomnum.o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</si>
  <si>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</si>
  <si>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</si>
  <si>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</si>
  <si>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</si>
  <si>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</si>
  <si>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</si>
  <si>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</si>
  <si>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</si>
  <si>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</si>
  <si>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</si>
  <si>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</si>
  <si>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</si>
  <si>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</si>
  <si>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gd32f4xx_trng.o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</si>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</sst>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ram_percent!$A$3:$A$69</c:f>
              <c:strCache>
                <c:ptCount val="67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app_fourlightsgamep.o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6">
                  <c:v>Totals</c:v>
                </c:pt>
              </c:strCache>
            </c:strRef>
          </c:cat>
          <c:val>
            <c:numRef>
              <c:f>ram_percent!$B$3:$B$69</c:f>
              <c:numCache>
                <c:formatCode>General</c:formatCode>
                <c:ptCount val="67"/>
                <c:pt idx="0">
                  <c:v>86.97148132324219</c:v>
                </c:pt>
                <c:pt idx="1">
                  <c:v>6.465014457702637</c:v>
                </c:pt>
                <c:pt idx="2">
                  <c:v>1.304096817970276</c:v>
                </c:pt>
                <c:pt idx="3">
                  <c:v>1.163725256919861</c:v>
                </c:pt>
                <c:pt idx="4">
                  <c:v>1.159197211265564</c:v>
                </c:pt>
                <c:pt idx="5">
                  <c:v>1.159197211265564</c:v>
                </c:pt>
                <c:pt idx="6">
                  <c:v>0.9056227803230286</c:v>
                </c:pt>
                <c:pt idx="7">
                  <c:v>0.249046266078949</c:v>
                </c:pt>
                <c:pt idx="8">
                  <c:v>0.2082932442426682</c:v>
                </c:pt>
                <c:pt idx="9">
                  <c:v>0.09056227654218674</c:v>
                </c:pt>
                <c:pt idx="10">
                  <c:v>0.07358185201883316</c:v>
                </c:pt>
                <c:pt idx="11">
                  <c:v>0.07358185201883316</c:v>
                </c:pt>
                <c:pt idx="12">
                  <c:v>0.07244982570409775</c:v>
                </c:pt>
                <c:pt idx="13">
                  <c:v>0.0679217055439949</c:v>
                </c:pt>
                <c:pt idx="14">
                  <c:v>0.01018825639039278</c:v>
                </c:pt>
                <c:pt idx="15">
                  <c:v>0.005660142283886671</c:v>
                </c:pt>
                <c:pt idx="16">
                  <c:v>0.004528114106506109</c:v>
                </c:pt>
                <c:pt idx="17">
                  <c:v>0.004528114106506109</c:v>
                </c:pt>
                <c:pt idx="18">
                  <c:v>0.004528114106506109</c:v>
                </c:pt>
                <c:pt idx="19">
                  <c:v>0.004528114106506109</c:v>
                </c:pt>
                <c:pt idx="20">
                  <c:v>0.001132028526626527</c:v>
                </c:pt>
                <c:pt idx="21">
                  <c:v>0.001132028526626527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flash_percent!$A$3:$A$69</c:f>
              <c:strCache>
                <c:ptCount val="67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app_fourlightsgamep.o</c:v>
                </c:pt>
                <c:pt idx="6">
                  <c:v>app_gameprocess.o</c:v>
                </c:pt>
                <c:pt idx="7">
                  <c:v>driver_ws2812b.o</c:v>
                </c:pt>
                <c:pt idx="8">
                  <c:v>queue.o</c:v>
                </c:pt>
                <c:pt idx="9">
                  <c:v>app_keys.o</c:v>
                </c:pt>
                <c:pt idx="10">
                  <c:v>timers.o</c:v>
                </c:pt>
                <c:pt idx="11">
                  <c:v>port.o</c:v>
                </c:pt>
                <c:pt idx="12">
                  <c:v>oled.o</c:v>
                </c:pt>
                <c:pt idx="13">
                  <c:v>mc_w.l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main.o</c:v>
                </c:pt>
                <c:pt idx="22">
                  <c:v>printf3.o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app_randomnum.o</c:v>
                </c:pt>
                <c:pt idx="35">
                  <c:v>u8x8_display.o</c:v>
                </c:pt>
                <c:pt idx="36">
                  <c:v>gd32f4xx_misc.o</c:v>
                </c:pt>
                <c:pt idx="37">
                  <c:v>systick.o</c:v>
                </c:pt>
                <c:pt idx="38">
                  <c:v>u8g2_ll_hvline.o</c:v>
                </c:pt>
                <c:pt idx="39">
                  <c:v>list.o</c:v>
                </c:pt>
                <c:pt idx="40">
                  <c:v>u8g2_intersection.o</c:v>
                </c:pt>
                <c:pt idx="41">
                  <c:v>u8g2_buffer.o</c:v>
                </c:pt>
                <c:pt idx="42">
                  <c:v>app_countdown.o</c:v>
                </c:pt>
                <c:pt idx="43">
                  <c:v>app_ws2812.o</c:v>
                </c:pt>
                <c:pt idx="44">
                  <c:v>gd32f4xx_spi.o</c:v>
                </c:pt>
                <c:pt idx="45">
                  <c:v>u8g2_d_setup.o</c:v>
                </c:pt>
                <c:pt idx="46">
                  <c:v>delay.o</c:v>
                </c:pt>
                <c:pt idx="47">
                  <c:v>init.o</c:v>
                </c:pt>
                <c:pt idx="48">
                  <c:v>u8x8_setup.o</c:v>
                </c:pt>
                <c:pt idx="49">
                  <c:v>gd32f4xx_trng.o</c:v>
                </c:pt>
                <c:pt idx="50">
                  <c:v>uidiv.o</c:v>
                </c:pt>
                <c:pt idx="51">
                  <c:v>puts.o</c:v>
                </c:pt>
                <c:pt idx="52">
                  <c:v>memseta.o</c:v>
                </c:pt>
                <c:pt idx="53">
                  <c:v>memcpya.o</c:v>
                </c:pt>
                <c:pt idx="54">
                  <c:v>handlers.o</c:v>
                </c:pt>
                <c:pt idx="55">
                  <c:v>gd32f4xx_exti.o</c:v>
                </c:pt>
                <c:pt idx="56">
                  <c:v>u8x8_8x8.o</c:v>
                </c:pt>
                <c:pt idx="57">
                  <c:v>u8g2_d_memory.o</c:v>
                </c:pt>
                <c:pt idx="58">
                  <c:v>spi.o</c:v>
                </c:pt>
                <c:pt idx="59">
                  <c:v>gd32f4xx_it.o</c:v>
                </c:pt>
                <c:pt idx="60">
                  <c:v>entry9a.o</c:v>
                </c:pt>
                <c:pt idx="61">
                  <c:v>entry2.o</c:v>
                </c:pt>
                <c:pt idx="62">
                  <c:v>u8x8_gpio.o</c:v>
                </c:pt>
                <c:pt idx="63">
                  <c:v>stdout.o</c:v>
                </c:pt>
                <c:pt idx="64">
                  <c:v>entry5.o</c:v>
                </c:pt>
                <c:pt idx="65">
                  <c:v>i2c.o</c:v>
                </c:pt>
                <c:pt idx="66">
                  <c:v>Totals</c:v>
                </c:pt>
              </c:strCache>
            </c:strRef>
          </c:cat>
          <c:val>
            <c:numRef>
              <c:f>flash_percent!$B$3:$B$69</c:f>
              <c:numCache>
                <c:formatCode>General</c:formatCode>
                <c:ptCount val="67"/>
                <c:pt idx="0">
                  <c:v>28.81070518493652</c:v>
                </c:pt>
                <c:pt idx="1">
                  <c:v>8.169339179992676</c:v>
                </c:pt>
                <c:pt idx="2">
                  <c:v>5.652324199676514</c:v>
                </c:pt>
                <c:pt idx="3">
                  <c:v>3.995847225189209</c:v>
                </c:pt>
                <c:pt idx="4">
                  <c:v>3.693620920181274</c:v>
                </c:pt>
                <c:pt idx="5">
                  <c:v>3.534433126449585</c:v>
                </c:pt>
                <c:pt idx="6">
                  <c:v>3.347560167312622</c:v>
                </c:pt>
                <c:pt idx="7">
                  <c:v>3.197600603103638</c:v>
                </c:pt>
                <c:pt idx="8">
                  <c:v>2.357826709747315</c:v>
                </c:pt>
                <c:pt idx="9">
                  <c:v>2.237859010696411</c:v>
                </c:pt>
                <c:pt idx="10">
                  <c:v>2.166339874267578</c:v>
                </c:pt>
                <c:pt idx="11">
                  <c:v>2.115584373474121</c:v>
                </c:pt>
                <c:pt idx="12">
                  <c:v>1.794901371002197</c:v>
                </c:pt>
                <c:pt idx="13">
                  <c:v>1.790287256240845</c:v>
                </c:pt>
                <c:pt idx="14">
                  <c:v>1.670319557189941</c:v>
                </c:pt>
                <c:pt idx="15">
                  <c:v>1.531895279884338</c:v>
                </c:pt>
                <c:pt idx="16">
                  <c:v>1.52497398853302</c:v>
                </c:pt>
                <c:pt idx="17">
                  <c:v>1.384242653846741</c:v>
                </c:pt>
                <c:pt idx="18">
                  <c:v>1.365786075592041</c:v>
                </c:pt>
                <c:pt idx="19">
                  <c:v>1.301188111305237</c:v>
                </c:pt>
                <c:pt idx="20">
                  <c:v>1.23197603225708</c:v>
                </c:pt>
                <c:pt idx="21">
                  <c:v>1.21351945400238</c:v>
                </c:pt>
                <c:pt idx="22">
                  <c:v>1.204291105270386</c:v>
                </c:pt>
                <c:pt idx="23">
                  <c:v>1.084323406219482</c:v>
                </c:pt>
                <c:pt idx="24">
                  <c:v>1.075095176696777</c:v>
                </c:pt>
                <c:pt idx="25">
                  <c:v>1.06125271320343</c:v>
                </c:pt>
                <c:pt idx="26">
                  <c:v>1.06125271320343</c:v>
                </c:pt>
                <c:pt idx="27">
                  <c:v>0.9874264597892761</c:v>
                </c:pt>
                <c:pt idx="28">
                  <c:v>0.8766870498657227</c:v>
                </c:pt>
                <c:pt idx="29">
                  <c:v>0.8397738933563232</c:v>
                </c:pt>
                <c:pt idx="30">
                  <c:v>0.7105779051780701</c:v>
                </c:pt>
                <c:pt idx="31">
                  <c:v>0.6644365191459656</c:v>
                </c:pt>
                <c:pt idx="32">
                  <c:v>0.6598223447799683</c:v>
                </c:pt>
                <c:pt idx="33">
                  <c:v>0.6436728835105896</c:v>
                </c:pt>
                <c:pt idx="34">
                  <c:v>0.4706425070762634</c:v>
                </c:pt>
                <c:pt idx="35">
                  <c:v>0.456800103187561</c:v>
                </c:pt>
                <c:pt idx="36">
                  <c:v>0.4152728021144867</c:v>
                </c:pt>
                <c:pt idx="37">
                  <c:v>0.3922021090984345</c:v>
                </c:pt>
                <c:pt idx="38">
                  <c:v>0.3691313862800598</c:v>
                </c:pt>
                <c:pt idx="39">
                  <c:v>0.3460606634616852</c:v>
                </c:pt>
                <c:pt idx="40">
                  <c:v>0.3045333921909332</c:v>
                </c:pt>
                <c:pt idx="41">
                  <c:v>0.2953051030635834</c:v>
                </c:pt>
                <c:pt idx="42">
                  <c:v>0.2583919763565064</c:v>
                </c:pt>
                <c:pt idx="43">
                  <c:v>0.2030222564935684</c:v>
                </c:pt>
                <c:pt idx="44">
                  <c:v>0.1845656931400299</c:v>
                </c:pt>
                <c:pt idx="45">
                  <c:v>0.1614949852228165</c:v>
                </c:pt>
                <c:pt idx="46">
                  <c:v>0.1245818436145783</c:v>
                </c:pt>
                <c:pt idx="47">
                  <c:v>0.1107394173741341</c:v>
                </c:pt>
                <c:pt idx="48">
                  <c:v>0.1107394173741341</c:v>
                </c:pt>
                <c:pt idx="49">
                  <c:v>0.1107394173741341</c:v>
                </c:pt>
                <c:pt idx="50">
                  <c:v>0.1015111282467842</c:v>
                </c:pt>
                <c:pt idx="51">
                  <c:v>0.0830545648932457</c:v>
                </c:pt>
                <c:pt idx="52">
                  <c:v>0.0830545648932457</c:v>
                </c:pt>
                <c:pt idx="53">
                  <c:v>0.0830545648932457</c:v>
                </c:pt>
                <c:pt idx="54">
                  <c:v>0.06921213865280151</c:v>
                </c:pt>
                <c:pt idx="55">
                  <c:v>0.06921213865280151</c:v>
                </c:pt>
                <c:pt idx="56">
                  <c:v>0.05998384952545166</c:v>
                </c:pt>
                <c:pt idx="57">
                  <c:v>0.03691313788294792</c:v>
                </c:pt>
                <c:pt idx="58">
                  <c:v>0.03229899704456329</c:v>
                </c:pt>
                <c:pt idx="59">
                  <c:v>0.02768485434353352</c:v>
                </c:pt>
                <c:pt idx="60">
                  <c:v>0.01845656894147396</c:v>
                </c:pt>
                <c:pt idx="61">
                  <c:v>0.01845656894147396</c:v>
                </c:pt>
                <c:pt idx="62">
                  <c:v>0.01845656894147396</c:v>
                </c:pt>
                <c:pt idx="63">
                  <c:v>0.00922828447073698</c:v>
                </c:pt>
                <c:pt idx="64">
                  <c:v>0.00922828447073698</c:v>
                </c:pt>
                <c:pt idx="65">
                  <c:v>0.00922828447073698</c:v>
                </c:pt>
                <c:pt idx="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9" totalsRowCount="1">
  <autoFilter ref="A2:H6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9" totalsRowCount="1">
  <autoFilter ref="A2:H6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69</v>
      </c>
      <c r="C2" t="s">
        <v>70</v>
      </c>
      <c r="D2" t="s">
        <v>71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1</v>
      </c>
      <c r="B3" s="2">
        <v>86.97148132324219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6.465014457702637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1.304096817970276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1.163725256919861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1.159197211265564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1.159197211265564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0.9056227803230286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0.249046266078949</v>
      </c>
      <c r="C10" s="1">
        <v>220</v>
      </c>
      <c r="D10" s="1">
        <v>2450</v>
      </c>
      <c r="E10" s="1">
        <v>2180</v>
      </c>
      <c r="F10" s="1">
        <v>261</v>
      </c>
      <c r="G10" s="1">
        <v>9</v>
      </c>
      <c r="H10" s="1">
        <v>211</v>
      </c>
    </row>
    <row r="11" spans="1:8">
      <c r="A11" s="1" t="s">
        <v>9</v>
      </c>
      <c r="B11" s="2">
        <v>0.2082932442426682</v>
      </c>
      <c r="C11" s="1">
        <v>184</v>
      </c>
      <c r="D11" s="1">
        <v>526</v>
      </c>
      <c r="E11" s="1">
        <v>526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0.09056227654218674</v>
      </c>
      <c r="C12" s="1">
        <v>80</v>
      </c>
      <c r="D12" s="1">
        <v>1451</v>
      </c>
      <c r="E12" s="1">
        <v>1340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0.07358185201883316</v>
      </c>
      <c r="C13" s="1">
        <v>65</v>
      </c>
      <c r="D13" s="1">
        <v>1601</v>
      </c>
      <c r="E13" s="1">
        <v>1526</v>
      </c>
      <c r="F13" s="1">
        <v>15</v>
      </c>
      <c r="G13" s="1">
        <v>60</v>
      </c>
      <c r="H13" s="1">
        <v>5</v>
      </c>
    </row>
    <row r="14" spans="1:8">
      <c r="A14" s="1" t="s">
        <v>12</v>
      </c>
      <c r="B14" s="2">
        <v>0.07358185201883316</v>
      </c>
      <c r="C14" s="1">
        <v>65</v>
      </c>
      <c r="D14" s="1">
        <v>1532</v>
      </c>
      <c r="E14" s="1">
        <v>1472</v>
      </c>
      <c r="F14" s="1">
        <v>0</v>
      </c>
      <c r="G14" s="1">
        <v>60</v>
      </c>
      <c r="H14" s="1">
        <v>5</v>
      </c>
    </row>
    <row r="15" spans="1:8">
      <c r="A15" s="1" t="s">
        <v>13</v>
      </c>
      <c r="B15" s="2">
        <v>0.07244982570409775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0.0679217055439949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0.01018825639039278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0.005660142283886671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0.004528114106506109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0.004528114106506109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0.004528114106506109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0.004528114106506109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0.001132028526626527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0.001132028526626527</v>
      </c>
      <c r="C24" s="1">
        <v>1</v>
      </c>
      <c r="D24" s="1">
        <v>970</v>
      </c>
      <c r="E24" s="1">
        <v>970</v>
      </c>
      <c r="F24" s="1">
        <v>0</v>
      </c>
      <c r="G24" s="1">
        <v>0</v>
      </c>
      <c r="H24" s="1">
        <v>1</v>
      </c>
    </row>
    <row r="69" spans="1:8">
      <c r="A69" t="s">
        <v>68</v>
      </c>
      <c r="B69">
        <f>SUBTOTAL(109,[ram_percent])</f>
        <v>0</v>
      </c>
      <c r="C69">
        <f>SUBTOTAL(109,[ram])</f>
        <v>0</v>
      </c>
      <c r="D69">
        <f>SUBTOTAL(109,[flash])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67</v>
      </c>
      <c r="B2" t="s">
        <v>76</v>
      </c>
      <c r="C2" t="s">
        <v>71</v>
      </c>
      <c r="D2" t="s">
        <v>70</v>
      </c>
      <c r="E2" t="s">
        <v>72</v>
      </c>
      <c r="F2" t="s">
        <v>73</v>
      </c>
      <c r="G2" t="s">
        <v>74</v>
      </c>
      <c r="H2" t="s">
        <v>75</v>
      </c>
    </row>
    <row r="3" spans="1:8">
      <c r="A3" s="1" t="s">
        <v>23</v>
      </c>
      <c r="B3" s="2">
        <v>28.81070518493652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8.169339179992676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5.652324199676514</v>
      </c>
      <c r="C5" s="1">
        <v>2450</v>
      </c>
      <c r="D5" s="1">
        <v>220</v>
      </c>
      <c r="E5" s="1">
        <v>2180</v>
      </c>
      <c r="F5" s="1">
        <v>261</v>
      </c>
      <c r="G5" s="1">
        <v>9</v>
      </c>
      <c r="H5" s="1">
        <v>211</v>
      </c>
    </row>
    <row r="6" spans="1:8">
      <c r="A6" s="1" t="s">
        <v>24</v>
      </c>
      <c r="B6" s="2">
        <v>3.995847225189209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3.693620920181274</v>
      </c>
      <c r="C7" s="1">
        <v>1601</v>
      </c>
      <c r="D7" s="1">
        <v>65</v>
      </c>
      <c r="E7" s="1">
        <v>1526</v>
      </c>
      <c r="F7" s="1">
        <v>15</v>
      </c>
      <c r="G7" s="1">
        <v>60</v>
      </c>
      <c r="H7" s="1">
        <v>5</v>
      </c>
    </row>
    <row r="8" spans="1:8">
      <c r="A8" s="1" t="s">
        <v>12</v>
      </c>
      <c r="B8" s="2">
        <v>3.534433126449585</v>
      </c>
      <c r="C8" s="1">
        <v>1532</v>
      </c>
      <c r="D8" s="1">
        <v>65</v>
      </c>
      <c r="E8" s="1">
        <v>1472</v>
      </c>
      <c r="F8" s="1">
        <v>0</v>
      </c>
      <c r="G8" s="1">
        <v>60</v>
      </c>
      <c r="H8" s="1">
        <v>5</v>
      </c>
    </row>
    <row r="9" spans="1:8">
      <c r="A9" s="1" t="s">
        <v>10</v>
      </c>
      <c r="B9" s="2">
        <v>3.347560167312622</v>
      </c>
      <c r="C9" s="1">
        <v>1451</v>
      </c>
      <c r="D9" s="1">
        <v>80</v>
      </c>
      <c r="E9" s="1">
        <v>1340</v>
      </c>
      <c r="F9" s="1">
        <v>36</v>
      </c>
      <c r="G9" s="1">
        <v>75</v>
      </c>
      <c r="H9" s="1">
        <v>5</v>
      </c>
    </row>
    <row r="10" spans="1:8">
      <c r="A10" s="1" t="s">
        <v>2</v>
      </c>
      <c r="B10" s="2">
        <v>3.197600603103638</v>
      </c>
      <c r="C10" s="1">
        <v>1386</v>
      </c>
      <c r="D10" s="1">
        <v>5711</v>
      </c>
      <c r="E10" s="1">
        <v>1386</v>
      </c>
      <c r="F10" s="1">
        <v>0</v>
      </c>
      <c r="G10" s="1">
        <v>0</v>
      </c>
      <c r="H10" s="1">
        <v>5711</v>
      </c>
    </row>
    <row r="11" spans="1:8">
      <c r="A11" s="1" t="s">
        <v>13</v>
      </c>
      <c r="B11" s="2">
        <v>2.357826709747315</v>
      </c>
      <c r="C11" s="1">
        <v>1022</v>
      </c>
      <c r="D11" s="1">
        <v>64</v>
      </c>
      <c r="E11" s="1">
        <v>1002</v>
      </c>
      <c r="F11" s="1">
        <v>20</v>
      </c>
      <c r="G11" s="1">
        <v>0</v>
      </c>
      <c r="H11" s="1">
        <v>64</v>
      </c>
    </row>
    <row r="12" spans="1:8">
      <c r="A12" s="1" t="s">
        <v>22</v>
      </c>
      <c r="B12" s="2">
        <v>2.237859010696411</v>
      </c>
      <c r="C12" s="1">
        <v>970</v>
      </c>
      <c r="D12" s="1">
        <v>1</v>
      </c>
      <c r="E12" s="1">
        <v>970</v>
      </c>
      <c r="F12" s="1">
        <v>0</v>
      </c>
      <c r="G12" s="1">
        <v>0</v>
      </c>
      <c r="H12" s="1">
        <v>1</v>
      </c>
    </row>
    <row r="13" spans="1:8">
      <c r="A13" s="1" t="s">
        <v>14</v>
      </c>
      <c r="B13" s="2">
        <v>2.166339874267578</v>
      </c>
      <c r="C13" s="1">
        <v>939</v>
      </c>
      <c r="D13" s="1">
        <v>60</v>
      </c>
      <c r="E13" s="1">
        <v>918</v>
      </c>
      <c r="F13" s="1">
        <v>21</v>
      </c>
      <c r="G13" s="1">
        <v>0</v>
      </c>
      <c r="H13" s="1">
        <v>60</v>
      </c>
    </row>
    <row r="14" spans="1:8">
      <c r="A14" s="1" t="s">
        <v>15</v>
      </c>
      <c r="B14" s="2">
        <v>2.115584373474121</v>
      </c>
      <c r="C14" s="1">
        <v>917</v>
      </c>
      <c r="D14" s="1">
        <v>9</v>
      </c>
      <c r="E14" s="1">
        <v>872</v>
      </c>
      <c r="F14" s="1">
        <v>41</v>
      </c>
      <c r="G14" s="1">
        <v>4</v>
      </c>
      <c r="H14" s="1">
        <v>5</v>
      </c>
    </row>
    <row r="15" spans="1:8">
      <c r="A15" s="1" t="s">
        <v>3</v>
      </c>
      <c r="B15" s="2">
        <v>1.794901371002197</v>
      </c>
      <c r="C15" s="1">
        <v>778</v>
      </c>
      <c r="D15" s="1">
        <v>1152</v>
      </c>
      <c r="E15" s="1">
        <v>778</v>
      </c>
      <c r="F15" s="1">
        <v>0</v>
      </c>
      <c r="G15" s="1">
        <v>0</v>
      </c>
      <c r="H15" s="1">
        <v>1152</v>
      </c>
    </row>
    <row r="16" spans="1:8">
      <c r="A16" s="1" t="s">
        <v>17</v>
      </c>
      <c r="B16" s="2">
        <v>1.790287256240845</v>
      </c>
      <c r="C16" s="1">
        <v>776</v>
      </c>
      <c r="D16" s="1">
        <v>4</v>
      </c>
      <c r="E16" s="1">
        <v>772</v>
      </c>
      <c r="F16" s="1">
        <v>0</v>
      </c>
      <c r="G16" s="1">
        <v>4</v>
      </c>
      <c r="H16" s="1">
        <v>0</v>
      </c>
    </row>
    <row r="17" spans="1:8">
      <c r="A17" s="1" t="s">
        <v>25</v>
      </c>
      <c r="B17" s="2">
        <v>1.670319557189941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1.531895279884338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1.52497398853302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1.384242653846741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1.365786075592041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1.301188111305237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1.23197603225708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9</v>
      </c>
      <c r="B24" s="2">
        <v>1.21351945400238</v>
      </c>
      <c r="C24" s="1">
        <v>526</v>
      </c>
      <c r="D24" s="1">
        <v>184</v>
      </c>
      <c r="E24" s="1">
        <v>526</v>
      </c>
      <c r="F24" s="1">
        <v>0</v>
      </c>
      <c r="G24" s="1">
        <v>0</v>
      </c>
      <c r="H24" s="1">
        <v>184</v>
      </c>
    </row>
    <row r="25" spans="1:8">
      <c r="A25" s="1" t="s">
        <v>29</v>
      </c>
      <c r="B25" s="2">
        <v>1.204291105270386</v>
      </c>
      <c r="C25" s="1">
        <v>522</v>
      </c>
      <c r="D25" s="1">
        <v>0</v>
      </c>
      <c r="E25" s="1">
        <v>522</v>
      </c>
      <c r="F25" s="1">
        <v>0</v>
      </c>
      <c r="G25" s="1">
        <v>0</v>
      </c>
      <c r="H25" s="1">
        <v>0</v>
      </c>
    </row>
    <row r="26" spans="1:8">
      <c r="A26" s="1" t="s">
        <v>30</v>
      </c>
      <c r="B26" s="2">
        <v>1.084323406219482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1.075095176696777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1.06125271320343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1.06125271320343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0.9874264597892761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0.8766870498657227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0.8397738933563232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0.7105779051780701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0.6644365191459656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0.6598223447799683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0.6436728835105896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0.4706425070762634</v>
      </c>
      <c r="C37" s="1">
        <v>204</v>
      </c>
      <c r="D37" s="1">
        <v>0</v>
      </c>
      <c r="E37" s="1">
        <v>204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0.456800103187561</v>
      </c>
      <c r="C38" s="1">
        <v>198</v>
      </c>
      <c r="D38" s="1">
        <v>0</v>
      </c>
      <c r="E38" s="1">
        <v>198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0.4152728021144867</v>
      </c>
      <c r="C39" s="1">
        <v>180</v>
      </c>
      <c r="D39" s="1">
        <v>0</v>
      </c>
      <c r="E39" s="1">
        <v>180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0.3922021090984345</v>
      </c>
      <c r="C40" s="1">
        <v>170</v>
      </c>
      <c r="D40" s="1">
        <v>0</v>
      </c>
      <c r="E40" s="1">
        <v>170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0.3691313862800598</v>
      </c>
      <c r="C41" s="1">
        <v>160</v>
      </c>
      <c r="D41" s="1">
        <v>0</v>
      </c>
      <c r="E41" s="1">
        <v>160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0.3460606634616852</v>
      </c>
      <c r="C42" s="1">
        <v>150</v>
      </c>
      <c r="D42" s="1">
        <v>0</v>
      </c>
      <c r="E42" s="1">
        <v>150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0.3045333921909332</v>
      </c>
      <c r="C43" s="1">
        <v>132</v>
      </c>
      <c r="D43" s="1">
        <v>0</v>
      </c>
      <c r="E43" s="1">
        <v>132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0.2953051030635834</v>
      </c>
      <c r="C44" s="1">
        <v>128</v>
      </c>
      <c r="D44" s="1">
        <v>0</v>
      </c>
      <c r="E44" s="1">
        <v>128</v>
      </c>
      <c r="F44" s="1">
        <v>0</v>
      </c>
      <c r="G44" s="1">
        <v>0</v>
      </c>
      <c r="H44" s="1">
        <v>0</v>
      </c>
    </row>
    <row r="45" spans="1:8">
      <c r="A45" s="1" t="s">
        <v>20</v>
      </c>
      <c r="B45" s="2">
        <v>0.2583919763565064</v>
      </c>
      <c r="C45" s="1">
        <v>112</v>
      </c>
      <c r="D45" s="1">
        <v>4</v>
      </c>
      <c r="E45" s="1">
        <v>112</v>
      </c>
      <c r="F45" s="1">
        <v>0</v>
      </c>
      <c r="G45" s="1">
        <v>0</v>
      </c>
      <c r="H45" s="1">
        <v>4</v>
      </c>
    </row>
    <row r="46" spans="1:8">
      <c r="A46" s="1" t="s">
        <v>46</v>
      </c>
      <c r="B46" s="2">
        <v>0.2030222564935684</v>
      </c>
      <c r="C46" s="1">
        <v>88</v>
      </c>
      <c r="D46" s="1">
        <v>0</v>
      </c>
      <c r="E46" s="1">
        <v>88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0.1845656931400299</v>
      </c>
      <c r="C47" s="1">
        <v>80</v>
      </c>
      <c r="D47" s="1">
        <v>0</v>
      </c>
      <c r="E47" s="1">
        <v>80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0.1614949852228165</v>
      </c>
      <c r="C48" s="1">
        <v>70</v>
      </c>
      <c r="D48" s="1">
        <v>0</v>
      </c>
      <c r="E48" s="1">
        <v>70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0.1245818436145783</v>
      </c>
      <c r="C49" s="1">
        <v>54</v>
      </c>
      <c r="D49" s="1">
        <v>0</v>
      </c>
      <c r="E49" s="1">
        <v>54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0.1107394173741341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0.1107394173741341</v>
      </c>
      <c r="C51" s="1">
        <v>48</v>
      </c>
      <c r="D51" s="1">
        <v>0</v>
      </c>
      <c r="E51" s="1">
        <v>48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0.1107394173741341</v>
      </c>
      <c r="C52" s="1">
        <v>48</v>
      </c>
      <c r="D52" s="1">
        <v>0</v>
      </c>
      <c r="E52" s="1">
        <v>48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0.1015111282467842</v>
      </c>
      <c r="C53" s="1">
        <v>44</v>
      </c>
      <c r="D53" s="1">
        <v>0</v>
      </c>
      <c r="E53" s="1">
        <v>44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0.0830545648932457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0.0830545648932457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0.0830545648932457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0.06921213865280151</v>
      </c>
      <c r="C57" s="1">
        <v>30</v>
      </c>
      <c r="D57" s="1">
        <v>0</v>
      </c>
      <c r="E57" s="1">
        <v>30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0.06921213865280151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59</v>
      </c>
      <c r="B59" s="2">
        <v>0.05998384952545166</v>
      </c>
      <c r="C59" s="1">
        <v>26</v>
      </c>
      <c r="D59" s="1">
        <v>0</v>
      </c>
      <c r="E59" s="1">
        <v>26</v>
      </c>
      <c r="F59" s="1">
        <v>0</v>
      </c>
      <c r="G59" s="1">
        <v>0</v>
      </c>
      <c r="H59" s="1">
        <v>0</v>
      </c>
    </row>
    <row r="60" spans="1:8">
      <c r="A60" s="1" t="s">
        <v>5</v>
      </c>
      <c r="B60" s="2">
        <v>0.03691313788294792</v>
      </c>
      <c r="C60" s="1">
        <v>16</v>
      </c>
      <c r="D60" s="1">
        <v>1024</v>
      </c>
      <c r="E60" s="1">
        <v>16</v>
      </c>
      <c r="F60" s="1">
        <v>0</v>
      </c>
      <c r="G60" s="1">
        <v>0</v>
      </c>
      <c r="H60" s="1">
        <v>1024</v>
      </c>
    </row>
    <row r="61" spans="1:8">
      <c r="A61" s="1" t="s">
        <v>60</v>
      </c>
      <c r="B61" s="2">
        <v>0.03229899704456329</v>
      </c>
      <c r="C61" s="1">
        <v>14</v>
      </c>
      <c r="D61" s="1">
        <v>0</v>
      </c>
      <c r="E61" s="1">
        <v>14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0.02768485434353352</v>
      </c>
      <c r="C62" s="1">
        <v>12</v>
      </c>
      <c r="D62" s="1">
        <v>0</v>
      </c>
      <c r="E62" s="1">
        <v>12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0.01845656894147396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0.01845656894147396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0.01845656894147396</v>
      </c>
      <c r="C65" s="1">
        <v>8</v>
      </c>
      <c r="D65" s="1">
        <v>0</v>
      </c>
      <c r="E65" s="1">
        <v>8</v>
      </c>
      <c r="F65" s="1">
        <v>0</v>
      </c>
      <c r="G65" s="1">
        <v>0</v>
      </c>
      <c r="H65" s="1">
        <v>0</v>
      </c>
    </row>
    <row r="66" spans="1:8">
      <c r="A66" s="1" t="s">
        <v>18</v>
      </c>
      <c r="B66" s="2">
        <v>0.00922828447073698</v>
      </c>
      <c r="C66" s="1">
        <v>4</v>
      </c>
      <c r="D66" s="1">
        <v>4</v>
      </c>
      <c r="E66" s="1">
        <v>0</v>
      </c>
      <c r="F66" s="1">
        <v>0</v>
      </c>
      <c r="G66" s="1">
        <v>4</v>
      </c>
      <c r="H66" s="1">
        <v>0</v>
      </c>
    </row>
    <row r="67" spans="1:8">
      <c r="A67" s="1" t="s">
        <v>65</v>
      </c>
      <c r="B67" s="2">
        <v>0.00922828447073698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0.00922828447073698</v>
      </c>
      <c r="C68" s="1">
        <v>4</v>
      </c>
      <c r="D68" s="1">
        <v>0</v>
      </c>
      <c r="E68" s="1">
        <v>4</v>
      </c>
      <c r="F68" s="1">
        <v>0</v>
      </c>
      <c r="G68" s="1">
        <v>0</v>
      </c>
      <c r="H68" s="1">
        <v>0</v>
      </c>
    </row>
    <row r="69" spans="1:8">
      <c r="A69" t="s">
        <v>68</v>
      </c>
      <c r="B69">
        <f>SUBTOTAL(109,[flash_percent])</f>
        <v>0</v>
      </c>
      <c r="C69">
        <f>SUBTOTAL(109,[flash])</f>
        <v>0</v>
      </c>
      <c r="D69">
        <f>SUBTOTAL(109,[ram])</f>
        <v>0</v>
      </c>
      <c r="E69">
        <f>SUBTOTAL(109,[Code])</f>
        <v>0</v>
      </c>
      <c r="F69">
        <f>SUBTOTAL(109,[RO_data])</f>
        <v>0</v>
      </c>
      <c r="G69">
        <f>SUBTOTAL(109,[RW_data])</f>
        <v>0</v>
      </c>
      <c r="H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2026-02-07T09:53:38Z</dcterms:created>
  <dcterms:modified xsi:type="dcterms:W3CDTF">2026-02-07T09:53:38Z</dcterms:modified>
</cp:coreProperties>
</file>